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I10\Documents\SDD\"/>
    </mc:Choice>
  </mc:AlternateContent>
  <bookViews>
    <workbookView xWindow="0" yWindow="0" windowWidth="20520" windowHeight="10988" activeTab="1"/>
  </bookViews>
  <sheets>
    <sheet name="Menu" sheetId="1" r:id="rId1"/>
    <sheet name="Input" sheetId="4" r:id="rId2"/>
    <sheet name="Database" sheetId="2" r:id="rId3"/>
    <sheet name="Lookups" sheetId="3" r:id="rId4"/>
  </sheets>
  <definedNames>
    <definedName name="AgeTable">Lookups!$I$2:$J$5</definedName>
    <definedName name="DobError">Input!$E$13</definedName>
    <definedName name="DobInput">Input!$C$13</definedName>
    <definedName name="FirstNameError">Input!$E$7</definedName>
    <definedName name="FirstNameInput">Input!$C$7</definedName>
    <definedName name="MaxAge">Lookups!$I$5</definedName>
    <definedName name="MinAge">Lookups!$I$2</definedName>
    <definedName name="MsgInput">Input!$C$18</definedName>
    <definedName name="QuoteNumber">Input!$C$5</definedName>
    <definedName name="StreetInput">Input!$C$11</definedName>
    <definedName name="StreetLookup">Lookups!$F$2:$F$3</definedName>
    <definedName name="StreetTable">Lookups!$F$2:$G$3</definedName>
    <definedName name="SurnameError">Input!$E$9</definedName>
    <definedName name="SurnameInput">Input!$C$9</definedName>
    <definedName name="TotalPremiumCalc">Input!$H$8</definedName>
    <definedName name="TrueAge">Input!$C$15</definedName>
    <definedName name="TrueAgeError">Input!$E$15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8" i="4" l="1"/>
  <c r="C5" i="4"/>
  <c r="H5" i="4" l="1"/>
  <c r="H6" i="4" s="1"/>
  <c r="C15" i="4" s="1"/>
  <c r="I5" i="4" l="1"/>
  <c r="H4" i="4"/>
  <c r="N8" i="4"/>
  <c r="K7" i="4"/>
  <c r="L7" i="4" s="1"/>
  <c r="I4" i="4"/>
  <c r="I6" i="4" l="1"/>
  <c r="H8" i="4" s="1"/>
  <c r="C17" i="4" s="1"/>
  <c r="L8" i="4"/>
  <c r="L9" i="4" s="1"/>
  <c r="M8" i="4"/>
  <c r="N7" i="4"/>
  <c r="N9" i="4" s="1"/>
  <c r="M7" i="4"/>
  <c r="B3" i="3"/>
  <c r="M9" i="4" l="1"/>
  <c r="M10" i="4" s="1"/>
  <c r="N10" i="4" s="1"/>
  <c r="L10" i="4" l="1"/>
</calcChain>
</file>

<file path=xl/sharedStrings.xml><?xml version="1.0" encoding="utf-8"?>
<sst xmlns="http://schemas.openxmlformats.org/spreadsheetml/2006/main" count="70" uniqueCount="49">
  <si>
    <t>Main Menu</t>
  </si>
  <si>
    <t>Name</t>
  </si>
  <si>
    <t>Surname</t>
  </si>
  <si>
    <t>Street</t>
  </si>
  <si>
    <t xml:space="preserve"> </t>
  </si>
  <si>
    <t>Quote</t>
  </si>
  <si>
    <t>NextQuote</t>
  </si>
  <si>
    <t>QuoteCurrent</t>
  </si>
  <si>
    <t>kk</t>
  </si>
  <si>
    <t>BasePremium</t>
  </si>
  <si>
    <t>Factors</t>
  </si>
  <si>
    <t>Amount</t>
  </si>
  <si>
    <t>H</t>
  </si>
  <si>
    <t>L</t>
  </si>
  <si>
    <t>kkee</t>
  </si>
  <si>
    <t>DOB</t>
  </si>
  <si>
    <t>Age</t>
  </si>
  <si>
    <t>Age Calc</t>
  </si>
  <si>
    <t>Today</t>
  </si>
  <si>
    <t>Years Diff</t>
  </si>
  <si>
    <t>Month</t>
  </si>
  <si>
    <t>Day</t>
  </si>
  <si>
    <t>True Age</t>
  </si>
  <si>
    <t>True age</t>
  </si>
  <si>
    <t>Range</t>
  </si>
  <si>
    <t>Factor</t>
  </si>
  <si>
    <t>kke</t>
  </si>
  <si>
    <t>rsgo</t>
  </si>
  <si>
    <t>kkk</t>
  </si>
  <si>
    <t>ooo</t>
  </si>
  <si>
    <t>Life Insurance Quote System</t>
  </si>
  <si>
    <t>ss</t>
  </si>
  <si>
    <t>qaa</t>
  </si>
  <si>
    <t>jj</t>
  </si>
  <si>
    <t>s</t>
  </si>
  <si>
    <t>d</t>
  </si>
  <si>
    <t>kdkddk</t>
  </si>
  <si>
    <t>kdkdk</t>
  </si>
  <si>
    <t>Jack</t>
  </si>
  <si>
    <t>oe</t>
  </si>
  <si>
    <t>oeo</t>
  </si>
  <si>
    <t>ywyw</t>
  </si>
  <si>
    <t>dick</t>
  </si>
  <si>
    <t>smith</t>
  </si>
  <si>
    <t>aeiief</t>
  </si>
  <si>
    <t>jodjod</t>
  </si>
  <si>
    <t>Total $</t>
  </si>
  <si>
    <t xml:space="preserve">Kill </t>
  </si>
  <si>
    <t>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</si>
</sst>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22"/>
      <color rgb="FFFF00FF"/>
      <name val="Comic Sans MS"/>
      <family val="4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2" borderId="0" xfId="0" applyFont="1" applyFill="1"/>
    <xf numFmtId="0" fontId="0" fillId="0" borderId="0" xfId="0" applyFill="1"/>
    <xf numFmtId="0" fontId="0" fillId="0" borderId="1" xfId="0" applyBorder="1" applyProtection="1">
      <protection locked="0"/>
    </xf>
    <xf numFmtId="14" fontId="0" fillId="0" borderId="0" xfId="0" applyNumberFormat="1"/>
    <xf numFmtId="2" fontId="0" fillId="0" borderId="0" xfId="0" applyNumberFormat="1"/>
    <xf numFmtId="0" fontId="0" fillId="0" borderId="1" xfId="0" applyBorder="1" applyProtection="1"/>
    <xf numFmtId="1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Fill="1" applyBorder="1"/>
    <xf numFmtId="1" fontId="0" fillId="0" borderId="1" xfId="0" applyNumberFormat="1" applyFill="1" applyBorder="1"/>
    <xf numFmtId="0" fontId="0" fillId="0" borderId="0" xfId="0" applyBorder="1"/>
    <xf numFmtId="0" fontId="0" fillId="0" borderId="8" xfId="0" applyBorder="1"/>
    <xf numFmtId="14" fontId="0" fillId="0" borderId="1" xfId="0" applyNumberFormat="1" applyFill="1" applyBorder="1" applyProtection="1">
      <protection locked="0"/>
    </xf>
    <xf numFmtId="0" fontId="0" fillId="0" borderId="1" xfId="0" applyFill="1" applyBorder="1" applyProtection="1">
      <protection locked="0"/>
    </xf>
    <xf numFmtId="0" fontId="0" fillId="3" borderId="9" xfId="0" applyFill="1" applyBorder="1"/>
    <xf numFmtId="2" fontId="0" fillId="0" borderId="1" xfId="0" applyNumberFormat="1" applyBorder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5</xdr:row>
          <xdr:rowOff>176213</xdr:rowOff>
        </xdr:from>
        <xdr:to>
          <xdr:col>4</xdr:col>
          <xdr:colOff>1314450</xdr:colOff>
          <xdr:row>9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Blew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166688</xdr:colOff>
          <xdr:row>16</xdr:row>
          <xdr:rowOff>28575</xdr:rowOff>
        </xdr:from>
        <xdr:to>
          <xdr:col>4</xdr:col>
          <xdr:colOff>966788</xdr:colOff>
          <xdr:row>21</xdr:row>
          <xdr:rowOff>114300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E5:F5"/>
  <sheetViews>
    <sheetView zoomScale="91" workbookViewId="0">
      <selection activeCell="B20" sqref="B20"/>
    </sheetView>
  </sheetViews>
  <sheetFormatPr defaultRowHeight="14.25" x14ac:dyDescent="0.45"/>
  <cols>
    <col min="5" max="5" width="20.73046875" customWidth="1"/>
  </cols>
  <sheetData>
    <row r="5" spans="5:6" ht="33.4" x14ac:dyDescent="1.2">
      <c r="E5" s="1" t="s">
        <v>0</v>
      </c>
      <c r="F5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Input_button_one">
                <anchor moveWithCells="1" sizeWithCells="1">
                  <from>
                    <xdr:col>4</xdr:col>
                    <xdr:colOff>142875</xdr:colOff>
                    <xdr:row>5</xdr:row>
                    <xdr:rowOff>176213</xdr:rowOff>
                  </from>
                  <to>
                    <xdr:col>4</xdr:col>
                    <xdr:colOff>1314450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N24"/>
  <sheetViews>
    <sheetView tabSelected="1" zoomScale="87" zoomScaleNormal="87" workbookViewId="0">
      <selection activeCell="Q15" sqref="Q15"/>
    </sheetView>
  </sheetViews>
  <sheetFormatPr defaultRowHeight="14.25" x14ac:dyDescent="0.45"/>
  <cols>
    <col min="1" max="1" width="8" customWidth="1"/>
    <col min="2" max="2" width="13.19921875" customWidth="1"/>
    <col min="3" max="3" width="25.33203125" customWidth="1"/>
    <col min="4" max="4" width="2.265625" customWidth="1"/>
    <col min="5" max="5" width="17.6640625" customWidth="1"/>
    <col min="6" max="6" width="10.3984375" customWidth="1"/>
    <col min="7" max="7" width="14.33203125" hidden="1" customWidth="1"/>
    <col min="8" max="8" width="13.33203125" hidden="1" customWidth="1"/>
    <col min="9" max="9" width="23.86328125" hidden="1" customWidth="1"/>
    <col min="10" max="10" width="9.06640625" hidden="1" customWidth="1"/>
    <col min="11" max="11" width="10.33203125" hidden="1" customWidth="1"/>
    <col min="12" max="12" width="9.06640625" hidden="1" customWidth="1"/>
    <col min="13" max="13" width="5" hidden="1" customWidth="1"/>
    <col min="14" max="14" width="5.1328125" hidden="1" customWidth="1"/>
  </cols>
  <sheetData>
    <row r="1" spans="2:14" x14ac:dyDescent="0.45">
      <c r="H1" t="s">
        <v>11</v>
      </c>
      <c r="I1" t="s">
        <v>10</v>
      </c>
    </row>
    <row r="2" spans="2:14" x14ac:dyDescent="0.45">
      <c r="B2" s="22" t="s">
        <v>30</v>
      </c>
      <c r="C2" s="22"/>
      <c r="G2" t="s">
        <v>9</v>
      </c>
      <c r="H2">
        <v>500</v>
      </c>
    </row>
    <row r="3" spans="2:14" x14ac:dyDescent="0.45">
      <c r="J3" t="s">
        <v>4</v>
      </c>
    </row>
    <row r="4" spans="2:14" ht="14.65" thickBot="1" x14ac:dyDescent="0.5">
      <c r="G4" t="s">
        <v>3</v>
      </c>
      <c r="H4">
        <f>C11</f>
        <v>0</v>
      </c>
      <c r="I4" t="e">
        <f>VLOOKUP(C11,StreetTable,2,FALSE)</f>
        <v>#N/A</v>
      </c>
    </row>
    <row r="5" spans="2:14" ht="14.65" thickBot="1" x14ac:dyDescent="0.5">
      <c r="B5" t="s">
        <v>5</v>
      </c>
      <c r="C5" s="6">
        <f>Lookups!B2</f>
        <v>16</v>
      </c>
      <c r="G5" t="s">
        <v>16</v>
      </c>
      <c r="H5" s="5">
        <f ca="1">(TODAY()-C13)/365.25422</f>
        <v>118.3887759051764</v>
      </c>
      <c r="I5">
        <f ca="1">VLOOKUP(H6,AgeTable,2,TRUE)</f>
        <v>2.5</v>
      </c>
    </row>
    <row r="6" spans="2:14" ht="14.65" thickBot="1" x14ac:dyDescent="0.5">
      <c r="G6" t="s">
        <v>22</v>
      </c>
      <c r="H6" s="7">
        <f ca="1">ROUNDDOWN(H5,0)</f>
        <v>118</v>
      </c>
      <c r="I6" t="e">
        <f ca="1">I4+I5</f>
        <v>#N/A</v>
      </c>
      <c r="J6" t="s">
        <v>17</v>
      </c>
      <c r="L6" t="s">
        <v>19</v>
      </c>
      <c r="M6" t="s">
        <v>20</v>
      </c>
      <c r="N6" t="s">
        <v>21</v>
      </c>
    </row>
    <row r="7" spans="2:14" ht="14.65" thickBot="1" x14ac:dyDescent="0.5">
      <c r="B7" t="s">
        <v>1</v>
      </c>
      <c r="C7" s="19"/>
      <c r="J7" t="s">
        <v>18</v>
      </c>
      <c r="K7" s="4">
        <f ca="1">TODAY()</f>
        <v>43242</v>
      </c>
      <c r="L7">
        <f ca="1">YEAR(K7)</f>
        <v>2018</v>
      </c>
      <c r="M7">
        <f ca="1">MONTH(K7)</f>
        <v>5</v>
      </c>
      <c r="N7">
        <f ca="1">DAY(K7)</f>
        <v>22</v>
      </c>
    </row>
    <row r="8" spans="2:14" ht="14.65" thickBot="1" x14ac:dyDescent="0.5">
      <c r="H8" t="e">
        <f ca="1">H2*I6</f>
        <v>#N/A</v>
      </c>
      <c r="J8" t="s">
        <v>15</v>
      </c>
      <c r="K8" s="4">
        <f>C13</f>
        <v>0</v>
      </c>
      <c r="L8">
        <f>YEAR(K8)</f>
        <v>1900</v>
      </c>
      <c r="M8">
        <f>MONTH(K8)</f>
        <v>1</v>
      </c>
      <c r="N8">
        <f>DAY(K8)</f>
        <v>0</v>
      </c>
    </row>
    <row r="9" spans="2:14" ht="14.65" thickBot="1" x14ac:dyDescent="0.5">
      <c r="B9" t="s">
        <v>2</v>
      </c>
      <c r="C9" s="19"/>
      <c r="L9">
        <f ca="1">L7-L8</f>
        <v>118</v>
      </c>
      <c r="M9">
        <f ca="1">M7-M8</f>
        <v>4</v>
      </c>
      <c r="N9">
        <f ca="1">N7-N8</f>
        <v>22</v>
      </c>
    </row>
    <row r="10" spans="2:14" ht="14.65" thickBot="1" x14ac:dyDescent="0.5">
      <c r="K10" t="s">
        <v>23</v>
      </c>
      <c r="L10">
        <f ca="1">L9+M10+N10</f>
        <v>118</v>
      </c>
      <c r="M10">
        <f ca="1">IF(M9&lt;=0,-1,0)</f>
        <v>0</v>
      </c>
      <c r="N10">
        <f ca="1">IF(M10=0,IF(N9&lt;0,-1,0),0)</f>
        <v>0</v>
      </c>
    </row>
    <row r="11" spans="2:14" ht="14.65" thickBot="1" x14ac:dyDescent="0.5">
      <c r="B11" t="s">
        <v>3</v>
      </c>
      <c r="C11" s="3"/>
    </row>
    <row r="12" spans="2:14" ht="14.65" thickBot="1" x14ac:dyDescent="0.5"/>
    <row r="13" spans="2:14" ht="14.65" thickBot="1" x14ac:dyDescent="0.5">
      <c r="B13" t="s">
        <v>15</v>
      </c>
      <c r="C13" s="18"/>
    </row>
    <row r="14" spans="2:14" ht="14.65" thickBot="1" x14ac:dyDescent="0.5"/>
    <row r="15" spans="2:14" ht="14.65" thickBot="1" x14ac:dyDescent="0.5">
      <c r="B15" t="s">
        <v>16</v>
      </c>
      <c r="C15" s="15" t="str">
        <f>IF(DobInput = "", "Not Applicable", H6)</f>
        <v>Not Applicable</v>
      </c>
    </row>
    <row r="16" spans="2:14" ht="14.65" thickBot="1" x14ac:dyDescent="0.5"/>
    <row r="17" spans="2:7" ht="14.65" thickBot="1" x14ac:dyDescent="0.5">
      <c r="B17" t="s">
        <v>46</v>
      </c>
      <c r="C17" s="21" t="str">
        <f ca="1">IF(ISNA(TotalPremiumCalc),"Not Applicable",TotalPremiumCalc)</f>
        <v>Not Applicable</v>
      </c>
    </row>
    <row r="18" spans="2:7" ht="13.5" customHeight="1" x14ac:dyDescent="0.45">
      <c r="C18" s="20"/>
      <c r="D18" s="17"/>
    </row>
    <row r="19" spans="2:7" x14ac:dyDescent="0.45">
      <c r="C19" s="16"/>
      <c r="E19" s="16"/>
    </row>
    <row r="24" spans="2:7" x14ac:dyDescent="0.45">
      <c r="D24" s="16"/>
      <c r="G24" s="4"/>
    </row>
  </sheetData>
  <sheetProtection selectLockedCells="1"/>
  <mergeCells count="1">
    <mergeCell ref="B2:C2"/>
  </mergeCells>
  <dataValidations count="1">
    <dataValidation type="list" errorStyle="information" allowBlank="1" showInputMessage="1" showErrorMessage="1" errorTitle="Street Error" error="You must be in High street or Low Street" promptTitle="Street" prompt="Please select H or L street" sqref="C11">
      <formula1>StreetLookup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Submit_Button">
                <anchor moveWithCells="1" sizeWithCells="1">
                  <from>
                    <xdr:col>4</xdr:col>
                    <xdr:colOff>166688</xdr:colOff>
                    <xdr:row>16</xdr:row>
                    <xdr:rowOff>28575</xdr:rowOff>
                  </from>
                  <to>
                    <xdr:col>4</xdr:col>
                    <xdr:colOff>966788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8"/>
  <sheetViews>
    <sheetView workbookViewId="0"/>
  </sheetViews>
  <sheetFormatPr defaultRowHeight="14.25" x14ac:dyDescent="0.45"/>
  <cols>
    <col min="1" max="1" width="21.19921875" customWidth="1"/>
    <col min="2" max="2" width="20.9296875" customWidth="1"/>
    <col min="3" max="3" width="25.6640625" customWidth="1"/>
    <col min="5" max="5" width="10.19921875" style="4" bestFit="1" customWidth="1"/>
  </cols>
  <sheetData>
    <row r="1" spans="1:6" x14ac:dyDescent="0.45">
      <c r="A1">
        <v>15</v>
      </c>
      <c r="B1" t="s">
        <v>47</v>
      </c>
      <c r="C1" t="s">
        <v>48</v>
      </c>
      <c r="D1" t="s">
        <v>12</v>
      </c>
      <c r="E1" s="4">
        <v>20128</v>
      </c>
      <c r="F1">
        <v>63</v>
      </c>
    </row>
    <row r="2" spans="1:6" x14ac:dyDescent="0.45">
      <c r="A2">
        <v>14</v>
      </c>
      <c r="B2" t="s">
        <v>44</v>
      </c>
      <c r="C2" t="s">
        <v>45</v>
      </c>
      <c r="D2" t="s">
        <v>12</v>
      </c>
      <c r="E2" s="4">
        <v>32363</v>
      </c>
      <c r="F2">
        <v>29</v>
      </c>
    </row>
    <row r="3" spans="1:6" x14ac:dyDescent="0.45">
      <c r="A3">
        <v>13</v>
      </c>
      <c r="B3" t="s">
        <v>42</v>
      </c>
      <c r="C3" t="s">
        <v>43</v>
      </c>
      <c r="D3" t="s">
        <v>13</v>
      </c>
      <c r="E3" s="4">
        <v>24689</v>
      </c>
      <c r="F3">
        <v>50</v>
      </c>
    </row>
    <row r="4" spans="1:6" x14ac:dyDescent="0.45">
      <c r="B4" t="s">
        <v>40</v>
      </c>
      <c r="C4" t="s">
        <v>41</v>
      </c>
      <c r="D4" t="s">
        <v>13</v>
      </c>
      <c r="E4" s="4">
        <v>31816</v>
      </c>
      <c r="F4">
        <v>31</v>
      </c>
    </row>
    <row r="5" spans="1:6" x14ac:dyDescent="0.45">
      <c r="A5">
        <v>11</v>
      </c>
      <c r="B5" t="s">
        <v>38</v>
      </c>
      <c r="C5" t="s">
        <v>39</v>
      </c>
      <c r="D5" t="s">
        <v>13</v>
      </c>
      <c r="E5" s="4">
        <v>31997</v>
      </c>
      <c r="F5">
        <v>30</v>
      </c>
    </row>
    <row r="8" spans="1:6" x14ac:dyDescent="0.45">
      <c r="A8">
        <v>10</v>
      </c>
      <c r="B8" t="s">
        <v>34</v>
      </c>
      <c r="C8" t="s">
        <v>35</v>
      </c>
      <c r="D8" t="s">
        <v>12</v>
      </c>
      <c r="E8" s="4">
        <v>35107</v>
      </c>
      <c r="F8">
        <v>22</v>
      </c>
    </row>
    <row r="9" spans="1:6" x14ac:dyDescent="0.45">
      <c r="A9">
        <v>9</v>
      </c>
      <c r="B9" t="s">
        <v>36</v>
      </c>
      <c r="C9" t="s">
        <v>37</v>
      </c>
    </row>
    <row r="10" spans="1:6" x14ac:dyDescent="0.45">
      <c r="A10">
        <v>8</v>
      </c>
      <c r="B10" t="s">
        <v>35</v>
      </c>
      <c r="C10" t="s">
        <v>35</v>
      </c>
      <c r="D10" t="s">
        <v>13</v>
      </c>
    </row>
    <row r="11" spans="1:6" x14ac:dyDescent="0.45">
      <c r="A11">
        <v>7</v>
      </c>
      <c r="B11" t="s">
        <v>34</v>
      </c>
    </row>
    <row r="12" spans="1:6" x14ac:dyDescent="0.45">
      <c r="A12">
        <v>6</v>
      </c>
      <c r="B12" t="s">
        <v>8</v>
      </c>
    </row>
    <row r="13" spans="1:6" x14ac:dyDescent="0.45">
      <c r="A13">
        <v>5</v>
      </c>
      <c r="B13" t="s">
        <v>33</v>
      </c>
    </row>
    <row r="14" spans="1:6" x14ac:dyDescent="0.45">
      <c r="A14">
        <v>4</v>
      </c>
      <c r="B14" t="s">
        <v>32</v>
      </c>
      <c r="C14" t="s">
        <v>31</v>
      </c>
      <c r="D14" t="s">
        <v>12</v>
      </c>
    </row>
    <row r="15" spans="1:6" x14ac:dyDescent="0.45">
      <c r="A15">
        <v>3</v>
      </c>
      <c r="B15" t="s">
        <v>28</v>
      </c>
      <c r="C15" t="s">
        <v>29</v>
      </c>
      <c r="D15" t="s">
        <v>13</v>
      </c>
    </row>
    <row r="16" spans="1:6" x14ac:dyDescent="0.45">
      <c r="A16">
        <v>2</v>
      </c>
    </row>
    <row r="17" spans="1:4" x14ac:dyDescent="0.45">
      <c r="A17">
        <v>1</v>
      </c>
      <c r="B17" t="s">
        <v>26</v>
      </c>
      <c r="C17" t="s">
        <v>27</v>
      </c>
      <c r="D17" t="s">
        <v>12</v>
      </c>
    </row>
    <row r="18" spans="1:4" x14ac:dyDescent="0.45">
      <c r="A18">
        <v>3</v>
      </c>
      <c r="B18" t="s">
        <v>8</v>
      </c>
      <c r="C18" t="s">
        <v>14</v>
      </c>
      <c r="D18" t="s">
        <v>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"/>
  <sheetViews>
    <sheetView workbookViewId="0">
      <selection activeCell="C6" sqref="C6"/>
    </sheetView>
  </sheetViews>
  <sheetFormatPr defaultRowHeight="14.25" x14ac:dyDescent="0.45"/>
  <cols>
    <col min="1" max="1" width="17.1328125" customWidth="1"/>
    <col min="3" max="3" width="12" customWidth="1"/>
    <col min="4" max="4" width="22.06640625" customWidth="1"/>
  </cols>
  <sheetData>
    <row r="1" spans="1:10" ht="14.65" thickBot="1" x14ac:dyDescent="0.5">
      <c r="I1" t="s">
        <v>24</v>
      </c>
      <c r="J1" t="s">
        <v>25</v>
      </c>
    </row>
    <row r="2" spans="1:10" x14ac:dyDescent="0.45">
      <c r="A2" t="s">
        <v>7</v>
      </c>
      <c r="B2">
        <v>16</v>
      </c>
      <c r="C2" t="s">
        <v>9</v>
      </c>
      <c r="D2">
        <v>500</v>
      </c>
      <c r="E2" s="8" t="s">
        <v>3</v>
      </c>
      <c r="F2" s="9" t="s">
        <v>12</v>
      </c>
      <c r="G2" s="10">
        <v>0.1</v>
      </c>
      <c r="H2" s="14" t="s">
        <v>16</v>
      </c>
      <c r="I2">
        <v>18</v>
      </c>
      <c r="J2">
        <v>0.09</v>
      </c>
    </row>
    <row r="3" spans="1:10" ht="14.65" thickBot="1" x14ac:dyDescent="0.5">
      <c r="A3" t="s">
        <v>6</v>
      </c>
      <c r="B3">
        <f>B2+1</f>
        <v>17</v>
      </c>
      <c r="E3" s="11"/>
      <c r="F3" s="12" t="s">
        <v>13</v>
      </c>
      <c r="G3" s="13">
        <v>4</v>
      </c>
      <c r="I3">
        <v>35</v>
      </c>
      <c r="J3">
        <v>0.15</v>
      </c>
    </row>
    <row r="4" spans="1:10" x14ac:dyDescent="0.45">
      <c r="I4">
        <v>60</v>
      </c>
      <c r="J4">
        <v>0.5</v>
      </c>
    </row>
    <row r="5" spans="1:10" x14ac:dyDescent="0.45">
      <c r="I5">
        <v>100</v>
      </c>
      <c r="J5">
        <v>2.5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Menu</vt:lpstr>
      <vt:lpstr>Input</vt:lpstr>
      <vt:lpstr>Database</vt:lpstr>
      <vt:lpstr>Lookups</vt:lpstr>
      <vt:lpstr>AgeTable</vt:lpstr>
      <vt:lpstr>DobError</vt:lpstr>
      <vt:lpstr>DobInput</vt:lpstr>
      <vt:lpstr>FirstNameError</vt:lpstr>
      <vt:lpstr>FirstNameInput</vt:lpstr>
      <vt:lpstr>MaxAge</vt:lpstr>
      <vt:lpstr>MinAge</vt:lpstr>
      <vt:lpstr>MsgInput</vt:lpstr>
      <vt:lpstr>QuoteNumber</vt:lpstr>
      <vt:lpstr>StreetInput</vt:lpstr>
      <vt:lpstr>StreetLookup</vt:lpstr>
      <vt:lpstr>StreetTable</vt:lpstr>
      <vt:lpstr>SurnameError</vt:lpstr>
      <vt:lpstr>SurnameInput</vt:lpstr>
      <vt:lpstr>TotalPremiumCalc</vt:lpstr>
      <vt:lpstr>TrueAge</vt:lpstr>
      <vt:lpstr>TrueAgeError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Li</dc:creator>
  <cp:lastModifiedBy>Cameron Li</cp:lastModifiedBy>
  <dcterms:created xsi:type="dcterms:W3CDTF">2018-05-04T04:29:00Z</dcterms:created>
  <dcterms:modified xsi:type="dcterms:W3CDTF">2018-05-23T08:21:15Z</dcterms:modified>
</cp:coreProperties>
</file>